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 Bendaña\Documents\U\Redes\Proyecto Final - Copy\"/>
    </mc:Choice>
  </mc:AlternateContent>
  <xr:revisionPtr revIDLastSave="0" documentId="13_ncr:1_{CD9E8518-DA50-4371-AEE8-A40D9B7A608C}" xr6:coauthVersionLast="47" xr6:coauthVersionMax="47" xr10:uidLastSave="{00000000-0000-0000-0000-000000000000}"/>
  <bookViews>
    <workbookView xWindow="-120" yWindow="-120" windowWidth="29040" windowHeight="15720" xr2:uid="{B81E0653-01D2-4AC0-8BA6-03BB38D3D2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1" l="1"/>
  <c r="Q50" i="1"/>
  <c r="Q51" i="1"/>
  <c r="Q52" i="1"/>
  <c r="Q53" i="1"/>
  <c r="Q54" i="1"/>
  <c r="Q55" i="1"/>
  <c r="Q48" i="1"/>
</calcChain>
</file>

<file path=xl/sharedStrings.xml><?xml version="1.0" encoding="utf-8"?>
<sst xmlns="http://schemas.openxmlformats.org/spreadsheetml/2006/main" count="494" uniqueCount="292">
  <si>
    <t>RED</t>
  </si>
  <si>
    <t>PRIMER HOST</t>
  </si>
  <si>
    <t>ULTIMO HOST</t>
  </si>
  <si>
    <t>BROADCAST</t>
  </si>
  <si>
    <t>MASCARA</t>
  </si>
  <si>
    <t>PREFIJO</t>
  </si>
  <si>
    <t>TEGUCIGALPA</t>
  </si>
  <si>
    <t>10.10.10.0</t>
  </si>
  <si>
    <t>60 + 4 + 5 = 69 DISPOSITIVOS</t>
  </si>
  <si>
    <t>EDIFICIO 1 nvl 1 =</t>
  </si>
  <si>
    <t xml:space="preserve">EDIFICIO 1 nvl 2 = </t>
  </si>
  <si>
    <t>45 + 1 + 2 = 48 DISPOSITIVOS</t>
  </si>
  <si>
    <t xml:space="preserve">EDIFICIO 2 nvl 1 = </t>
  </si>
  <si>
    <t>30 + 1 + 3 = 34 DISPOSITIVOS</t>
  </si>
  <si>
    <t>10.10.10.1</t>
  </si>
  <si>
    <t>2^7 = 128</t>
  </si>
  <si>
    <t>2^7 - 2 = 126</t>
  </si>
  <si>
    <r>
      <t>00001010.00001010.00001010.0</t>
    </r>
    <r>
      <rPr>
        <sz val="11"/>
        <color rgb="FFFF0000"/>
        <rFont val="Aptos Narrow"/>
        <family val="2"/>
        <scheme val="minor"/>
      </rPr>
      <t>0000000</t>
    </r>
  </si>
  <si>
    <t>10.10.10.126</t>
  </si>
  <si>
    <t>10.10.10.127</t>
  </si>
  <si>
    <t>255.255.255.128</t>
  </si>
  <si>
    <t>/25</t>
  </si>
  <si>
    <t>2^6 = 64</t>
  </si>
  <si>
    <t>2^6 - 2 = 62</t>
  </si>
  <si>
    <t>10.10.10.128</t>
  </si>
  <si>
    <t>10.10.10.129</t>
  </si>
  <si>
    <r>
      <t>00001010.00001010.00001010.10</t>
    </r>
    <r>
      <rPr>
        <sz val="11"/>
        <color rgb="FFFF0000"/>
        <rFont val="Aptos Narrow"/>
        <family val="2"/>
        <scheme val="minor"/>
      </rPr>
      <t>000000</t>
    </r>
  </si>
  <si>
    <t>10.10.10.190</t>
  </si>
  <si>
    <t>10.10.10.191</t>
  </si>
  <si>
    <t>255.255.255.192</t>
  </si>
  <si>
    <t>/26</t>
  </si>
  <si>
    <t>10.10.10.192</t>
  </si>
  <si>
    <r>
      <t>00001010.00001010.00001010.11</t>
    </r>
    <r>
      <rPr>
        <sz val="11"/>
        <color rgb="FFFF0000"/>
        <rFont val="Aptos Narrow"/>
        <family val="2"/>
        <scheme val="minor"/>
      </rPr>
      <t>000000</t>
    </r>
  </si>
  <si>
    <t>10.10.10.254</t>
  </si>
  <si>
    <t>10.10.10.255</t>
  </si>
  <si>
    <t>10.10.10.193</t>
  </si>
  <si>
    <t>OFICINA</t>
  </si>
  <si>
    <t>Administracion</t>
  </si>
  <si>
    <t>Operaciones</t>
  </si>
  <si>
    <t>Sistemas</t>
  </si>
  <si>
    <t>SAN PEDRO SULA</t>
  </si>
  <si>
    <t>Mercadeo</t>
  </si>
  <si>
    <t>Logistica</t>
  </si>
  <si>
    <t>11.11.10.0</t>
  </si>
  <si>
    <t>11.11.10.1</t>
  </si>
  <si>
    <t>30 + 2 + 2 = 34 DISPOSITIVOS</t>
  </si>
  <si>
    <t>15 + 1 + 2 = 18 DISPOSITIVOS</t>
  </si>
  <si>
    <t>10 + 1 + 1 = 12 DISPOSITIVOS</t>
  </si>
  <si>
    <r>
      <t>00001011.00001011.00001010.00</t>
    </r>
    <r>
      <rPr>
        <sz val="11"/>
        <color rgb="FFFF0000"/>
        <rFont val="Aptos Narrow"/>
        <family val="2"/>
        <scheme val="minor"/>
      </rPr>
      <t>000000</t>
    </r>
  </si>
  <si>
    <t>11.11.10.63</t>
  </si>
  <si>
    <t>11.11.10.62</t>
  </si>
  <si>
    <t>2^5 = 32</t>
  </si>
  <si>
    <t>2^5 - 2 = 30</t>
  </si>
  <si>
    <t>11.11.10.64</t>
  </si>
  <si>
    <r>
      <t>00001011.00001011.00001010.010</t>
    </r>
    <r>
      <rPr>
        <sz val="11"/>
        <color rgb="FFFF0000"/>
        <rFont val="Aptos Narrow"/>
        <family val="2"/>
        <scheme val="minor"/>
      </rPr>
      <t>00000</t>
    </r>
  </si>
  <si>
    <t>11.11.10.65</t>
  </si>
  <si>
    <t>11.11.10.94</t>
  </si>
  <si>
    <t>11.11.10.95</t>
  </si>
  <si>
    <t>/27</t>
  </si>
  <si>
    <t>255.255.255.224</t>
  </si>
  <si>
    <t>2^4 = 16</t>
  </si>
  <si>
    <t>2^4 - 2 = 14</t>
  </si>
  <si>
    <t>11.11.10.96</t>
  </si>
  <si>
    <r>
      <t>00001011.00001011.00001010.0110</t>
    </r>
    <r>
      <rPr>
        <sz val="11"/>
        <color rgb="FFFF0000"/>
        <rFont val="Aptos Narrow"/>
        <family val="2"/>
        <scheme val="minor"/>
      </rPr>
      <t>0000</t>
    </r>
  </si>
  <si>
    <t>11.11.10.97</t>
  </si>
  <si>
    <t>11.11.10.110</t>
  </si>
  <si>
    <t>11.11.10.111</t>
  </si>
  <si>
    <t>/28</t>
  </si>
  <si>
    <t>255.255.255.240</t>
  </si>
  <si>
    <t>COSTA RICA</t>
  </si>
  <si>
    <t>ADMINISTRACION</t>
  </si>
  <si>
    <t>LOGISTICA</t>
  </si>
  <si>
    <t>14.14.14.0</t>
  </si>
  <si>
    <t>14.14.14.1</t>
  </si>
  <si>
    <t>20 + 1 + 2 = 23</t>
  </si>
  <si>
    <r>
      <t>00001110.00001110.00001110.000</t>
    </r>
    <r>
      <rPr>
        <sz val="11"/>
        <color rgb="FFFF0000"/>
        <rFont val="Aptos Narrow"/>
        <family val="2"/>
        <scheme val="minor"/>
      </rPr>
      <t>00000</t>
    </r>
  </si>
  <si>
    <t>14.14.14.30</t>
  </si>
  <si>
    <t>14.14.14.31</t>
  </si>
  <si>
    <t>14.14.14.32</t>
  </si>
  <si>
    <t>14.14.14.33</t>
  </si>
  <si>
    <r>
      <t>00001110.00001110.00001110.001</t>
    </r>
    <r>
      <rPr>
        <sz val="11"/>
        <color rgb="FFFF0000"/>
        <rFont val="Aptos Narrow"/>
        <family val="2"/>
        <scheme val="minor"/>
      </rPr>
      <t>00000</t>
    </r>
  </si>
  <si>
    <t>14.14.14.62</t>
  </si>
  <si>
    <t>14.14.14.63</t>
  </si>
  <si>
    <t>GUATEMALA</t>
  </si>
  <si>
    <t>OPERACIONES</t>
  </si>
  <si>
    <t>12.12.12.0</t>
  </si>
  <si>
    <t>12.12.12.1</t>
  </si>
  <si>
    <t>20 + 1 + 2 = 23 DISPOSITIVOS</t>
  </si>
  <si>
    <t>15 + 0 + 1 = 16 DISPOSITIVOS</t>
  </si>
  <si>
    <t>60 + 4 + 5 = 69</t>
  </si>
  <si>
    <t>45 + 1 + 2 = 48</t>
  </si>
  <si>
    <r>
      <t>00001100.00001100.00001100.0</t>
    </r>
    <r>
      <rPr>
        <sz val="11"/>
        <color rgb="FFFF0000"/>
        <rFont val="Aptos Narrow"/>
        <family val="2"/>
        <scheme val="minor"/>
      </rPr>
      <t>0000000</t>
    </r>
  </si>
  <si>
    <r>
      <t>00001100.00001100.00001100.10</t>
    </r>
    <r>
      <rPr>
        <sz val="11"/>
        <color rgb="FFFF0000"/>
        <rFont val="Aptos Narrow"/>
        <family val="2"/>
        <scheme val="minor"/>
      </rPr>
      <t>000000</t>
    </r>
  </si>
  <si>
    <t>12.12.12.126</t>
  </si>
  <si>
    <t>12.12.12.127</t>
  </si>
  <si>
    <t>12.12.12.128</t>
  </si>
  <si>
    <t>12.12.12.129</t>
  </si>
  <si>
    <t>12.12.12.190</t>
  </si>
  <si>
    <t>12.12.12.191</t>
  </si>
  <si>
    <t>PANAMA</t>
  </si>
  <si>
    <t>15.15.15.0</t>
  </si>
  <si>
    <t>15.15.15.1</t>
  </si>
  <si>
    <t>15 + 0  + 1 = 16</t>
  </si>
  <si>
    <r>
      <t>00001111.00001111.00001111.000</t>
    </r>
    <r>
      <rPr>
        <sz val="11"/>
        <color rgb="FFFF0000"/>
        <rFont val="Aptos Narrow"/>
        <family val="2"/>
        <scheme val="minor"/>
      </rPr>
      <t>00000</t>
    </r>
  </si>
  <si>
    <r>
      <t>00001111.00001111.00001111.001</t>
    </r>
    <r>
      <rPr>
        <sz val="11"/>
        <color rgb="FFFF0000"/>
        <rFont val="Aptos Narrow"/>
        <family val="2"/>
        <scheme val="minor"/>
      </rPr>
      <t>00000</t>
    </r>
  </si>
  <si>
    <t>15.15.15.30</t>
  </si>
  <si>
    <t>15.15.15.31</t>
  </si>
  <si>
    <t>15.15.15.32</t>
  </si>
  <si>
    <t>15.15.15.33</t>
  </si>
  <si>
    <t>15.15.15.62</t>
  </si>
  <si>
    <t>15.15.15.63</t>
  </si>
  <si>
    <t>13.13.13.0</t>
  </si>
  <si>
    <t>13.13.13.1</t>
  </si>
  <si>
    <r>
      <t>00001101.00001101.00001101.000</t>
    </r>
    <r>
      <rPr>
        <sz val="11"/>
        <color rgb="FFFF0000"/>
        <rFont val="Aptos Narrow"/>
        <family val="2"/>
        <scheme val="minor"/>
      </rPr>
      <t>00000</t>
    </r>
  </si>
  <si>
    <r>
      <t>00001101.00001101.00001101.001</t>
    </r>
    <r>
      <rPr>
        <sz val="11"/>
        <color rgb="FFFF0000"/>
        <rFont val="Aptos Narrow"/>
        <family val="2"/>
        <scheme val="minor"/>
      </rPr>
      <t>00000</t>
    </r>
  </si>
  <si>
    <t>13.13.13.30</t>
  </si>
  <si>
    <t>13.13.13.31</t>
  </si>
  <si>
    <t>13.13.13.32</t>
  </si>
  <si>
    <t>13.13.13.33</t>
  </si>
  <si>
    <t>13.13.13.62</t>
  </si>
  <si>
    <t>13.13.13.63</t>
  </si>
  <si>
    <t>MIAMI</t>
  </si>
  <si>
    <t>4 + 0 + 0 = 4</t>
  </si>
  <si>
    <t>2^3 = 8</t>
  </si>
  <si>
    <t>2^3 - 2 = 6</t>
  </si>
  <si>
    <t>8.8.8.0</t>
  </si>
  <si>
    <t>8.8.8.1</t>
  </si>
  <si>
    <r>
      <t>00001000.00001000.00001000.00000</t>
    </r>
    <r>
      <rPr>
        <sz val="11"/>
        <color rgb="FFFF0000"/>
        <rFont val="Aptos Narrow"/>
        <family val="2"/>
        <scheme val="minor"/>
      </rPr>
      <t>000</t>
    </r>
  </si>
  <si>
    <t>8.8.8.6</t>
  </si>
  <si>
    <t>8.8.8.7</t>
  </si>
  <si>
    <t>/29</t>
  </si>
  <si>
    <t>255.255.255.248</t>
  </si>
  <si>
    <t>ATLANTA</t>
  </si>
  <si>
    <t>NEW YORK</t>
  </si>
  <si>
    <t>SISTEMAS</t>
  </si>
  <si>
    <t>9.9.9.0</t>
  </si>
  <si>
    <t>9.9.9.1</t>
  </si>
  <si>
    <t>9.9.9.126</t>
  </si>
  <si>
    <t>9.9.9.127</t>
  </si>
  <si>
    <t>9.9.9.128</t>
  </si>
  <si>
    <t>9.9.9.129</t>
  </si>
  <si>
    <t>9.9.9.190</t>
  </si>
  <si>
    <t>9.9.9.191</t>
  </si>
  <si>
    <t>9.9.9.192</t>
  </si>
  <si>
    <t>9.9.9.193</t>
  </si>
  <si>
    <t>9.9.9.254</t>
  </si>
  <si>
    <t>9.9.9.255</t>
  </si>
  <si>
    <r>
      <t>00001001.00001001.00001001.0</t>
    </r>
    <r>
      <rPr>
        <sz val="11"/>
        <color rgb="FFFF0000"/>
        <rFont val="Aptos Narrow"/>
        <family val="2"/>
        <scheme val="minor"/>
      </rPr>
      <t>0000000</t>
    </r>
  </si>
  <si>
    <r>
      <t>00001001.00001001.00001001.10</t>
    </r>
    <r>
      <rPr>
        <sz val="11"/>
        <color rgb="FFFF0000"/>
        <rFont val="Aptos Narrow"/>
        <family val="2"/>
        <scheme val="minor"/>
      </rPr>
      <t>000000</t>
    </r>
  </si>
  <si>
    <r>
      <t>00001001.00001001.00001001.11</t>
    </r>
    <r>
      <rPr>
        <sz val="11"/>
        <color rgb="FFFF0000"/>
        <rFont val="Aptos Narrow"/>
        <family val="2"/>
        <scheme val="minor"/>
      </rPr>
      <t>000000</t>
    </r>
  </si>
  <si>
    <t>SERVIDOR WEB</t>
  </si>
  <si>
    <t>12.12.12.192</t>
  </si>
  <si>
    <t>12.12.12.193</t>
  </si>
  <si>
    <t>12.12.12.194</t>
  </si>
  <si>
    <t>12.12.12.195</t>
  </si>
  <si>
    <t>/30</t>
  </si>
  <si>
    <t>255.255.255.252</t>
  </si>
  <si>
    <t>SERVIDORES</t>
  </si>
  <si>
    <t>8.8.8.8</t>
  </si>
  <si>
    <t>8.8.8.9</t>
  </si>
  <si>
    <t>8.8.8.14</t>
  </si>
  <si>
    <t>8.8.8.15</t>
  </si>
  <si>
    <r>
      <t>00001000.00001000.00001000.00001</t>
    </r>
    <r>
      <rPr>
        <sz val="11"/>
        <color rgb="FFFF0000"/>
        <rFont val="Aptos Narrow"/>
        <family val="2"/>
        <scheme val="minor"/>
      </rPr>
      <t>000</t>
    </r>
  </si>
  <si>
    <t>1 = 1</t>
  </si>
  <si>
    <t>2 + 2  = 4</t>
  </si>
  <si>
    <t>2^2 = 4</t>
  </si>
  <si>
    <t>2^2 - 2 = 2</t>
  </si>
  <si>
    <r>
      <t>00001100.00001100.00001100.110000</t>
    </r>
    <r>
      <rPr>
        <sz val="11"/>
        <color rgb="FFFF0000"/>
        <rFont val="Aptos Narrow"/>
        <family val="2"/>
        <scheme val="minor"/>
      </rPr>
      <t>00</t>
    </r>
  </si>
  <si>
    <t xml:space="preserve">SERVIDOR = </t>
  </si>
  <si>
    <t xml:space="preserve">SERVIDORES = </t>
  </si>
  <si>
    <t>RED WAN</t>
  </si>
  <si>
    <t>183.168.100.1</t>
  </si>
  <si>
    <t>183.168.100.2</t>
  </si>
  <si>
    <t>183.168.100.3</t>
  </si>
  <si>
    <t>183.168.100.5</t>
  </si>
  <si>
    <t>183.168.100.6</t>
  </si>
  <si>
    <t>183.168.100.7</t>
  </si>
  <si>
    <t>183.168.100.9</t>
  </si>
  <si>
    <t>183.168.100.10</t>
  </si>
  <si>
    <t>183.168.100.11</t>
  </si>
  <si>
    <t>183.168.100.13</t>
  </si>
  <si>
    <t>183.168.100.14</t>
  </si>
  <si>
    <t>183.168.100.15</t>
  </si>
  <si>
    <t>183.168.100.17</t>
  </si>
  <si>
    <t>183.168.100.18</t>
  </si>
  <si>
    <t>183.168.100.19</t>
  </si>
  <si>
    <t>183.168.100.21</t>
  </si>
  <si>
    <t>183.168.100.22</t>
  </si>
  <si>
    <t>183.168.100.23</t>
  </si>
  <si>
    <t>183.168.100.25</t>
  </si>
  <si>
    <t>183.168.100.26</t>
  </si>
  <si>
    <t>183.168.100.27</t>
  </si>
  <si>
    <t>183.168.100.0</t>
  </si>
  <si>
    <t>183.168.100.4</t>
  </si>
  <si>
    <t>183.168.100.8</t>
  </si>
  <si>
    <t>183.168.100.12</t>
  </si>
  <si>
    <t>183.168.100.16</t>
  </si>
  <si>
    <t>183.168.100.24</t>
  </si>
  <si>
    <t>183.168.100.20</t>
  </si>
  <si>
    <t>183.168.100.28</t>
  </si>
  <si>
    <t>183.168.100.29</t>
  </si>
  <si>
    <t>183.168.100.30</t>
  </si>
  <si>
    <t>183.168.100.31</t>
  </si>
  <si>
    <t>Costa Rica - Panama</t>
  </si>
  <si>
    <t>Panama - Costa Rica</t>
  </si>
  <si>
    <t>Panama - Tegucigalpa</t>
  </si>
  <si>
    <t>Panama - San Pedro Sula</t>
  </si>
  <si>
    <t>Panama - Miami</t>
  </si>
  <si>
    <t>Panama - Atlanta</t>
  </si>
  <si>
    <t>Panama - New York</t>
  </si>
  <si>
    <t>Costa Rica - Tegucigalpa</t>
  </si>
  <si>
    <t>Costa Rica - San Pedro Sula</t>
  </si>
  <si>
    <t>Costa Rica - Miami</t>
  </si>
  <si>
    <t>Costa Rica - Atlanta</t>
  </si>
  <si>
    <t>Costa Rica - New York</t>
  </si>
  <si>
    <t>Tegucigalpa - Panama</t>
  </si>
  <si>
    <t>Tegucigalpa - Costa Rica</t>
  </si>
  <si>
    <t>Tegucigalpa - San Pedro Sula</t>
  </si>
  <si>
    <t>Tegucigalpa - Miami</t>
  </si>
  <si>
    <t>Tegucigalpa - Atlanta</t>
  </si>
  <si>
    <t>Tegucigalpa - New York</t>
  </si>
  <si>
    <t>San Pedro Sula - Panama</t>
  </si>
  <si>
    <t>Miami - Panama</t>
  </si>
  <si>
    <t>Miami - Costa Rica</t>
  </si>
  <si>
    <t>Miami - Tegucigalpa</t>
  </si>
  <si>
    <t>Miami - San Pedro Sula</t>
  </si>
  <si>
    <t>Miami - Atlanta</t>
  </si>
  <si>
    <t>Miami - New York</t>
  </si>
  <si>
    <t>San Pedro Sula - Costa Rica</t>
  </si>
  <si>
    <t>San Pedro Sula - Tegucigalpa</t>
  </si>
  <si>
    <t>San Pedro Sula - Miami</t>
  </si>
  <si>
    <t>San Pedro Sula - Atlanta</t>
  </si>
  <si>
    <t>San Pedro Sula - New York</t>
  </si>
  <si>
    <t>Atlanta - Panama</t>
  </si>
  <si>
    <t>Atlanta - Costa Rica</t>
  </si>
  <si>
    <t>Atlanta - Tegucigalpa</t>
  </si>
  <si>
    <t>Atlanta - San Pedro Sula</t>
  </si>
  <si>
    <t>Atlanta - Miami</t>
  </si>
  <si>
    <t>Atlanta - New York</t>
  </si>
  <si>
    <t>New York - Panama</t>
  </si>
  <si>
    <t>New York - Costa Rica</t>
  </si>
  <si>
    <t>New York - Tegucigalpa</t>
  </si>
  <si>
    <t>New York - San Pedro Sula</t>
  </si>
  <si>
    <t>New York - Miami</t>
  </si>
  <si>
    <t>New York - Atlanta</t>
  </si>
  <si>
    <t>DISPONIBLES</t>
  </si>
  <si>
    <t>UTILIZADOS</t>
  </si>
  <si>
    <t>NIVEL</t>
  </si>
  <si>
    <t>10.10.10.5 - 10.10.10.126</t>
  </si>
  <si>
    <t>10.10.10.133 - 10.10.10.190</t>
  </si>
  <si>
    <t>10.10.10.197 - 10.10.10.254</t>
  </si>
  <si>
    <t>10.10.10.1 - 10.10.10.4</t>
  </si>
  <si>
    <t>11.11.10.1 - 11.11.10.4</t>
  </si>
  <si>
    <t>10.10.10.129 - 10.10.10.132</t>
  </si>
  <si>
    <t>10.10.10.193 - 10.10.10.196</t>
  </si>
  <si>
    <t>11.11.10.65 - 11.11.10.70</t>
  </si>
  <si>
    <t>11.11.10.97 - 11.11.10.101</t>
  </si>
  <si>
    <t>11.11.10.5 - 11.11.10.62</t>
  </si>
  <si>
    <t>11.11.10.71 - 11.11.10.94</t>
  </si>
  <si>
    <t>11.11.10.102 - 11.11.10.110</t>
  </si>
  <si>
    <t>14.14.14.1 - 14.14.14.5</t>
  </si>
  <si>
    <t>14.14.14.33 - 14.14.14.38</t>
  </si>
  <si>
    <t>14.14.14.39 - 14.14.14.62</t>
  </si>
  <si>
    <t>14.14.14.6 - 14.14.14.30</t>
  </si>
  <si>
    <t>12.12.12.1 - 12.12.12.5</t>
  </si>
  <si>
    <t>12.12.12.6 - 12.12.12.126</t>
  </si>
  <si>
    <t>12.12.12.129 - 12.12.12.134</t>
  </si>
  <si>
    <t>12.12.12.135 - 12.12.12.190</t>
  </si>
  <si>
    <t>12.12.12.193  - 12.12.12.194</t>
  </si>
  <si>
    <t>NINGUNO</t>
  </si>
  <si>
    <t>15.15.15.1 - 15.15.15.5</t>
  </si>
  <si>
    <t>15.15.15.6 - 15.15.15.30</t>
  </si>
  <si>
    <t>15.15.15.33 - 15.15.15.38</t>
  </si>
  <si>
    <t>15.15.15.39 - 15.15.15.62</t>
  </si>
  <si>
    <t>13.13.13.1 - 13.13.13.4</t>
  </si>
  <si>
    <t>13.13.13.5 - 13.13.13.30</t>
  </si>
  <si>
    <t>13.13.13.33 - 13.13.13.38</t>
  </si>
  <si>
    <t>13.13.13.39 - 13.13.13.62</t>
  </si>
  <si>
    <t>8.8.8.1 - 8.8.8.3</t>
  </si>
  <si>
    <t>8.8.8.4 - 8.8.8.6</t>
  </si>
  <si>
    <t>8.8.8.9 - 8.8.8.12</t>
  </si>
  <si>
    <t>8.8.8.13 - 8.8.8.14</t>
  </si>
  <si>
    <t>9.9.9.1 - 9.9.9.4</t>
  </si>
  <si>
    <t>9.9.9.5 - 9.9.9.126</t>
  </si>
  <si>
    <t>9.9.9.129 - 9.9.9.134</t>
  </si>
  <si>
    <t>9.9.9.135 - 9.9.9.190</t>
  </si>
  <si>
    <t>9.9.9.193 - 9.9.9.197</t>
  </si>
  <si>
    <t>9.9.9.198 - 9.9.9.254</t>
  </si>
  <si>
    <t>OFICINAS</t>
  </si>
  <si>
    <t>Guatemala - Tegucigalpa</t>
  </si>
  <si>
    <t>Atlanta - Guatemala</t>
  </si>
  <si>
    <t>NUMERO DE SUBRED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</si>
</sst>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2" fillId="6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304801</xdr:colOff>
      <xdr:row>5</xdr:row>
      <xdr:rowOff>29569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36BD45-22E4-F8ED-D6CD-66ACCFE8D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638800" cy="1029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180975</xdr:rowOff>
    </xdr:from>
    <xdr:to>
      <xdr:col>7</xdr:col>
      <xdr:colOff>285750</xdr:colOff>
      <xdr:row>10</xdr:row>
      <xdr:rowOff>154285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4C50D0-7906-7963-D29D-ED948DD5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1100"/>
          <a:ext cx="5619750" cy="973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57151</xdr:rowOff>
    </xdr:from>
    <xdr:to>
      <xdr:col>7</xdr:col>
      <xdr:colOff>304800</xdr:colOff>
      <xdr:row>16</xdr:row>
      <xdr:rowOff>21318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9AC9DF-790C-D8C9-7B74-418BC3425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38401"/>
          <a:ext cx="5638800" cy="773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68356</xdr:rowOff>
    </xdr:from>
    <xdr:to>
      <xdr:col>7</xdr:col>
      <xdr:colOff>304800</xdr:colOff>
      <xdr:row>21</xdr:row>
      <xdr:rowOff>1765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71EE66C-64C0-91B5-937E-DA288C6D7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41327"/>
          <a:ext cx="5638800" cy="7402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85726</xdr:rowOff>
    </xdr:from>
    <xdr:to>
      <xdr:col>7</xdr:col>
      <xdr:colOff>342900</xdr:colOff>
      <xdr:row>27</xdr:row>
      <xdr:rowOff>53985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4ED26C6-3B0E-158F-EF4F-8F80D18DA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646520"/>
          <a:ext cx="5676900" cy="775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135590</xdr:rowOff>
    </xdr:from>
    <xdr:to>
      <xdr:col>7</xdr:col>
      <xdr:colOff>295275</xdr:colOff>
      <xdr:row>54</xdr:row>
      <xdr:rowOff>43765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9EEA9E1-12FF-46E0-8BAA-752AEAC0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685678"/>
          <a:ext cx="5629275" cy="20484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22411</xdr:rowOff>
    </xdr:from>
    <xdr:to>
      <xdr:col>7</xdr:col>
      <xdr:colOff>347382</xdr:colOff>
      <xdr:row>32</xdr:row>
      <xdr:rowOff>33113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75CE2F5-3893-78DE-4DF3-9A1AD7C14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580529"/>
          <a:ext cx="5681382" cy="817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11207</xdr:rowOff>
    </xdr:from>
    <xdr:to>
      <xdr:col>7</xdr:col>
      <xdr:colOff>336176</xdr:colOff>
      <xdr:row>36</xdr:row>
      <xdr:rowOff>61479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359ED16-F93A-3EF9-9F49-F47A4A0F5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566648"/>
          <a:ext cx="5670176" cy="666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44824</xdr:rowOff>
    </xdr:from>
    <xdr:to>
      <xdr:col>7</xdr:col>
      <xdr:colOff>336176</xdr:colOff>
      <xdr:row>43</xdr:row>
      <xdr:rowOff>24261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2138CAD-A55E-3DB4-82B6-8654EB297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597589"/>
          <a:ext cx="5670176" cy="976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180976</xdr:rowOff>
    </xdr:from>
    <xdr:to>
      <xdr:col>7</xdr:col>
      <xdr:colOff>314325</xdr:colOff>
      <xdr:row>66</xdr:row>
      <xdr:rowOff>60034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3711C9-58FE-9423-E20F-EDF6C368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896601"/>
          <a:ext cx="5648325" cy="2165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08C6-5E75-45EA-AC37-234E2DEA60DD}">
  <dimension ref="I1:Y66"/>
  <sheetViews>
    <sheetView tabSelected="1" topLeftCell="A26" zoomScale="85" zoomScaleNormal="85" workbookViewId="0">
      <selection activeCell="L64" sqref="L64"/>
    </sheetView>
  </sheetViews>
  <sheetFormatPr baseColWidth="10" defaultRowHeight="15" x14ac:dyDescent="0.25"/>
  <cols>
    <col min="9" max="9" width="21.140625" customWidth="1"/>
    <col min="10" max="10" width="23.28515625" customWidth="1"/>
    <col min="11" max="11" width="24" customWidth="1"/>
    <col min="12" max="12" width="24.7109375" customWidth="1"/>
    <col min="13" max="13" width="20.140625" customWidth="1"/>
    <col min="14" max="14" width="20.7109375" customWidth="1"/>
    <col min="15" max="15" width="24.140625" customWidth="1"/>
    <col min="16" max="16" width="24" customWidth="1"/>
    <col min="17" max="17" width="28.5703125" customWidth="1"/>
    <col min="18" max="18" width="31.42578125" customWidth="1"/>
    <col min="21" max="21" width="23.85546875" customWidth="1"/>
    <col min="22" max="22" width="30.42578125" customWidth="1"/>
    <col min="25" max="25" width="35.5703125" customWidth="1"/>
  </cols>
  <sheetData>
    <row r="1" spans="9:25" ht="18.75" x14ac:dyDescent="0.3">
      <c r="I1" s="12" t="s">
        <v>6</v>
      </c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9:25" x14ac:dyDescent="0.25">
      <c r="I2" s="1" t="s">
        <v>291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245</v>
      </c>
      <c r="Q2" s="1" t="s">
        <v>246</v>
      </c>
      <c r="R2" s="1" t="s">
        <v>36</v>
      </c>
      <c r="S2" s="1" t="s">
        <v>247</v>
      </c>
    </row>
    <row r="3" spans="9:25" x14ac:dyDescent="0.25">
      <c r="I3" s="7">
        <v>1</v>
      </c>
      <c r="J3" s="2" t="s">
        <v>7</v>
      </c>
      <c r="K3" s="2" t="s">
        <v>14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248</v>
      </c>
      <c r="Q3" s="2" t="s">
        <v>251</v>
      </c>
      <c r="R3" s="2" t="s">
        <v>37</v>
      </c>
      <c r="S3" s="2">
        <v>1</v>
      </c>
      <c r="U3" s="1" t="s">
        <v>9</v>
      </c>
      <c r="V3" s="1" t="s">
        <v>8</v>
      </c>
      <c r="W3" s="3" t="s">
        <v>15</v>
      </c>
      <c r="X3" s="3" t="s">
        <v>16</v>
      </c>
      <c r="Y3" s="3" t="s">
        <v>17</v>
      </c>
    </row>
    <row r="4" spans="9:25" x14ac:dyDescent="0.25">
      <c r="I4" s="7">
        <v>2</v>
      </c>
      <c r="J4" s="2" t="s">
        <v>24</v>
      </c>
      <c r="K4" s="2" t="s">
        <v>25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249</v>
      </c>
      <c r="Q4" s="2" t="s">
        <v>253</v>
      </c>
      <c r="R4" s="2" t="s">
        <v>38</v>
      </c>
      <c r="S4" s="2">
        <v>2</v>
      </c>
      <c r="U4" s="1" t="s">
        <v>10</v>
      </c>
      <c r="V4" s="1" t="s">
        <v>11</v>
      </c>
      <c r="W4" s="3" t="s">
        <v>22</v>
      </c>
      <c r="X4" s="3" t="s">
        <v>23</v>
      </c>
      <c r="Y4" s="3" t="s">
        <v>26</v>
      </c>
    </row>
    <row r="5" spans="9:25" x14ac:dyDescent="0.25">
      <c r="I5" s="7">
        <v>3</v>
      </c>
      <c r="J5" s="2" t="s">
        <v>31</v>
      </c>
      <c r="K5" s="2" t="s">
        <v>35</v>
      </c>
      <c r="L5" s="2" t="s">
        <v>33</v>
      </c>
      <c r="M5" s="2" t="s">
        <v>34</v>
      </c>
      <c r="N5" s="2" t="s">
        <v>29</v>
      </c>
      <c r="O5" s="2" t="s">
        <v>30</v>
      </c>
      <c r="P5" s="2" t="s">
        <v>250</v>
      </c>
      <c r="Q5" s="2" t="s">
        <v>254</v>
      </c>
      <c r="R5" s="2" t="s">
        <v>39</v>
      </c>
      <c r="S5" s="2">
        <v>1</v>
      </c>
      <c r="U5" s="1" t="s">
        <v>12</v>
      </c>
      <c r="V5" s="1" t="s">
        <v>13</v>
      </c>
      <c r="W5" s="3" t="s">
        <v>22</v>
      </c>
      <c r="X5" s="3" t="s">
        <v>23</v>
      </c>
      <c r="Y5" s="3" t="s">
        <v>32</v>
      </c>
    </row>
    <row r="7" spans="9:25" ht="18.75" x14ac:dyDescent="0.3">
      <c r="I7" s="15" t="s">
        <v>40</v>
      </c>
      <c r="J7" s="16"/>
      <c r="K7" s="16"/>
      <c r="L7" s="16"/>
      <c r="M7" s="16"/>
      <c r="N7" s="16"/>
      <c r="O7" s="16"/>
      <c r="P7" s="16"/>
      <c r="Q7" s="16"/>
      <c r="R7" s="16"/>
      <c r="S7" s="17"/>
    </row>
    <row r="8" spans="9:25" x14ac:dyDescent="0.25">
      <c r="I8" s="4" t="s">
        <v>291</v>
      </c>
      <c r="J8" s="4" t="s">
        <v>0</v>
      </c>
      <c r="K8" s="4" t="s">
        <v>1</v>
      </c>
      <c r="L8" s="4" t="s">
        <v>2</v>
      </c>
      <c r="M8" s="4" t="s">
        <v>3</v>
      </c>
      <c r="N8" s="4" t="s">
        <v>4</v>
      </c>
      <c r="O8" s="4" t="s">
        <v>5</v>
      </c>
      <c r="P8" s="4" t="s">
        <v>245</v>
      </c>
      <c r="Q8" s="4" t="s">
        <v>246</v>
      </c>
      <c r="R8" s="4" t="s">
        <v>36</v>
      </c>
      <c r="S8" s="4" t="s">
        <v>247</v>
      </c>
    </row>
    <row r="9" spans="9:25" x14ac:dyDescent="0.25">
      <c r="I9" s="7">
        <v>1</v>
      </c>
      <c r="J9" s="2" t="s">
        <v>43</v>
      </c>
      <c r="K9" s="2" t="s">
        <v>44</v>
      </c>
      <c r="L9" s="2" t="s">
        <v>50</v>
      </c>
      <c r="M9" s="2" t="s">
        <v>49</v>
      </c>
      <c r="N9" s="2" t="s">
        <v>29</v>
      </c>
      <c r="O9" s="2" t="s">
        <v>30</v>
      </c>
      <c r="P9" s="2" t="s">
        <v>257</v>
      </c>
      <c r="Q9" s="2" t="s">
        <v>252</v>
      </c>
      <c r="R9" s="2" t="s">
        <v>41</v>
      </c>
      <c r="S9" s="2">
        <v>1</v>
      </c>
      <c r="U9" s="4" t="s">
        <v>9</v>
      </c>
      <c r="V9" s="4" t="s">
        <v>45</v>
      </c>
      <c r="W9" s="5" t="s">
        <v>22</v>
      </c>
      <c r="X9" s="5" t="s">
        <v>23</v>
      </c>
      <c r="Y9" s="5" t="s">
        <v>48</v>
      </c>
    </row>
    <row r="10" spans="9:25" x14ac:dyDescent="0.25">
      <c r="I10" s="7">
        <v>2</v>
      </c>
      <c r="J10" s="2" t="s">
        <v>53</v>
      </c>
      <c r="K10" s="2" t="s">
        <v>55</v>
      </c>
      <c r="L10" s="2" t="s">
        <v>56</v>
      </c>
      <c r="M10" s="2" t="s">
        <v>57</v>
      </c>
      <c r="N10" s="2" t="s">
        <v>59</v>
      </c>
      <c r="O10" s="2" t="s">
        <v>58</v>
      </c>
      <c r="P10" s="2" t="s">
        <v>258</v>
      </c>
      <c r="Q10" s="2" t="s">
        <v>255</v>
      </c>
      <c r="R10" s="2" t="s">
        <v>38</v>
      </c>
      <c r="S10" s="2">
        <v>2</v>
      </c>
      <c r="U10" s="4" t="s">
        <v>10</v>
      </c>
      <c r="V10" s="4" t="s">
        <v>46</v>
      </c>
      <c r="W10" s="5" t="s">
        <v>51</v>
      </c>
      <c r="X10" s="5" t="s">
        <v>52</v>
      </c>
      <c r="Y10" s="5" t="s">
        <v>54</v>
      </c>
    </row>
    <row r="11" spans="9:25" x14ac:dyDescent="0.25">
      <c r="I11" s="7">
        <v>3</v>
      </c>
      <c r="J11" s="2" t="s">
        <v>62</v>
      </c>
      <c r="K11" s="2" t="s">
        <v>64</v>
      </c>
      <c r="L11" s="2" t="s">
        <v>65</v>
      </c>
      <c r="M11" s="2" t="s">
        <v>66</v>
      </c>
      <c r="N11" s="2" t="s">
        <v>68</v>
      </c>
      <c r="O11" s="2" t="s">
        <v>67</v>
      </c>
      <c r="P11" s="2" t="s">
        <v>259</v>
      </c>
      <c r="Q11" s="2" t="s">
        <v>256</v>
      </c>
      <c r="R11" s="2" t="s">
        <v>42</v>
      </c>
      <c r="S11" s="2">
        <v>1</v>
      </c>
      <c r="U11" s="4" t="s">
        <v>12</v>
      </c>
      <c r="V11" s="4" t="s">
        <v>47</v>
      </c>
      <c r="W11" s="5" t="s">
        <v>60</v>
      </c>
      <c r="X11" s="5" t="s">
        <v>61</v>
      </c>
      <c r="Y11" s="5" t="s">
        <v>63</v>
      </c>
    </row>
    <row r="13" spans="9:25" ht="18.75" x14ac:dyDescent="0.3">
      <c r="I13" s="18" t="s">
        <v>69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9:25" x14ac:dyDescent="0.25">
      <c r="I14" s="1" t="s">
        <v>291</v>
      </c>
      <c r="J14" s="1" t="s">
        <v>0</v>
      </c>
      <c r="K14" s="1" t="s">
        <v>1</v>
      </c>
      <c r="L14" s="1" t="s">
        <v>2</v>
      </c>
      <c r="M14" s="1" t="s">
        <v>3</v>
      </c>
      <c r="N14" s="1" t="s">
        <v>4</v>
      </c>
      <c r="O14" s="1" t="s">
        <v>5</v>
      </c>
      <c r="P14" s="1" t="s">
        <v>245</v>
      </c>
      <c r="Q14" s="1" t="s">
        <v>246</v>
      </c>
      <c r="R14" s="1" t="s">
        <v>36</v>
      </c>
      <c r="S14" s="1" t="s">
        <v>247</v>
      </c>
    </row>
    <row r="15" spans="9:25" x14ac:dyDescent="0.25">
      <c r="I15" s="7">
        <v>1</v>
      </c>
      <c r="J15" s="2" t="s">
        <v>72</v>
      </c>
      <c r="K15" s="2" t="s">
        <v>73</v>
      </c>
      <c r="L15" s="2" t="s">
        <v>76</v>
      </c>
      <c r="M15" s="2" t="s">
        <v>77</v>
      </c>
      <c r="N15" s="2" t="s">
        <v>59</v>
      </c>
      <c r="O15" s="2" t="s">
        <v>58</v>
      </c>
      <c r="P15" s="2" t="s">
        <v>263</v>
      </c>
      <c r="Q15" s="2" t="s">
        <v>260</v>
      </c>
      <c r="R15" s="2" t="s">
        <v>70</v>
      </c>
      <c r="S15" s="2">
        <v>1</v>
      </c>
      <c r="U15" s="1" t="s">
        <v>9</v>
      </c>
      <c r="V15" s="1" t="s">
        <v>87</v>
      </c>
      <c r="W15" s="3" t="s">
        <v>51</v>
      </c>
      <c r="X15" s="3" t="s">
        <v>52</v>
      </c>
      <c r="Y15" s="3" t="s">
        <v>75</v>
      </c>
    </row>
    <row r="16" spans="9:25" x14ac:dyDescent="0.25">
      <c r="I16" s="7">
        <v>2</v>
      </c>
      <c r="J16" s="2" t="s">
        <v>78</v>
      </c>
      <c r="K16" s="2" t="s">
        <v>79</v>
      </c>
      <c r="L16" s="2" t="s">
        <v>81</v>
      </c>
      <c r="M16" s="2" t="s">
        <v>82</v>
      </c>
      <c r="N16" s="2" t="s">
        <v>59</v>
      </c>
      <c r="O16" s="2" t="s">
        <v>58</v>
      </c>
      <c r="P16" s="2" t="s">
        <v>262</v>
      </c>
      <c r="Q16" s="2" t="s">
        <v>261</v>
      </c>
      <c r="R16" s="2" t="s">
        <v>71</v>
      </c>
      <c r="S16" s="2">
        <v>2</v>
      </c>
      <c r="U16" s="1" t="s">
        <v>10</v>
      </c>
      <c r="V16" s="1" t="s">
        <v>88</v>
      </c>
      <c r="W16" s="3" t="s">
        <v>51</v>
      </c>
      <c r="X16" s="3" t="s">
        <v>52</v>
      </c>
      <c r="Y16" s="3" t="s">
        <v>80</v>
      </c>
    </row>
    <row r="17" spans="9:25" x14ac:dyDescent="0.25"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9:25" ht="18.75" x14ac:dyDescent="0.3">
      <c r="I18" s="15" t="s">
        <v>83</v>
      </c>
      <c r="J18" s="16"/>
      <c r="K18" s="16"/>
      <c r="L18" s="16"/>
      <c r="M18" s="16"/>
      <c r="N18" s="16"/>
      <c r="O18" s="16"/>
      <c r="P18" s="16"/>
      <c r="Q18" s="16"/>
      <c r="R18" s="16"/>
      <c r="S18" s="17"/>
    </row>
    <row r="19" spans="9:25" x14ac:dyDescent="0.25">
      <c r="I19" s="4" t="s">
        <v>291</v>
      </c>
      <c r="J19" s="4" t="s">
        <v>0</v>
      </c>
      <c r="K19" s="4" t="s">
        <v>1</v>
      </c>
      <c r="L19" s="4" t="s">
        <v>2</v>
      </c>
      <c r="M19" s="4" t="s">
        <v>3</v>
      </c>
      <c r="N19" s="4" t="s">
        <v>4</v>
      </c>
      <c r="O19" s="4" t="s">
        <v>5</v>
      </c>
      <c r="P19" s="4" t="s">
        <v>245</v>
      </c>
      <c r="Q19" s="4" t="s">
        <v>246</v>
      </c>
      <c r="R19" s="4" t="s">
        <v>36</v>
      </c>
      <c r="S19" s="4" t="s">
        <v>247</v>
      </c>
    </row>
    <row r="20" spans="9:25" x14ac:dyDescent="0.25">
      <c r="I20" s="7">
        <v>1</v>
      </c>
      <c r="J20" s="2" t="s">
        <v>85</v>
      </c>
      <c r="K20" s="2" t="s">
        <v>86</v>
      </c>
      <c r="L20" s="2" t="s">
        <v>93</v>
      </c>
      <c r="M20" s="2" t="s">
        <v>94</v>
      </c>
      <c r="N20" s="2" t="s">
        <v>20</v>
      </c>
      <c r="O20" s="2" t="s">
        <v>21</v>
      </c>
      <c r="P20" s="2" t="s">
        <v>265</v>
      </c>
      <c r="Q20" s="2" t="s">
        <v>264</v>
      </c>
      <c r="R20" s="2" t="s">
        <v>70</v>
      </c>
      <c r="S20" s="2">
        <v>1</v>
      </c>
      <c r="U20" s="4" t="s">
        <v>9</v>
      </c>
      <c r="V20" s="4" t="s">
        <v>89</v>
      </c>
      <c r="W20" s="5" t="s">
        <v>15</v>
      </c>
      <c r="X20" s="5" t="s">
        <v>16</v>
      </c>
      <c r="Y20" s="5" t="s">
        <v>91</v>
      </c>
    </row>
    <row r="21" spans="9:25" x14ac:dyDescent="0.25">
      <c r="I21" s="7">
        <v>2</v>
      </c>
      <c r="J21" s="2" t="s">
        <v>95</v>
      </c>
      <c r="K21" s="2" t="s">
        <v>96</v>
      </c>
      <c r="L21" s="2" t="s">
        <v>97</v>
      </c>
      <c r="M21" s="2" t="s">
        <v>98</v>
      </c>
      <c r="N21" s="2" t="s">
        <v>29</v>
      </c>
      <c r="O21" s="2" t="s">
        <v>30</v>
      </c>
      <c r="P21" s="2" t="s">
        <v>267</v>
      </c>
      <c r="Q21" s="2" t="s">
        <v>266</v>
      </c>
      <c r="R21" s="2" t="s">
        <v>84</v>
      </c>
      <c r="S21" s="2">
        <v>2</v>
      </c>
      <c r="U21" s="4" t="s">
        <v>10</v>
      </c>
      <c r="V21" s="4" t="s">
        <v>90</v>
      </c>
      <c r="W21" s="5" t="s">
        <v>22</v>
      </c>
      <c r="X21" s="5" t="s">
        <v>23</v>
      </c>
      <c r="Y21" s="5" t="s">
        <v>92</v>
      </c>
    </row>
    <row r="22" spans="9:25" x14ac:dyDescent="0.25">
      <c r="I22" s="7">
        <v>3</v>
      </c>
      <c r="J22" s="2" t="s">
        <v>151</v>
      </c>
      <c r="K22" s="2" t="s">
        <v>152</v>
      </c>
      <c r="L22" s="2" t="s">
        <v>153</v>
      </c>
      <c r="M22" s="2" t="s">
        <v>154</v>
      </c>
      <c r="N22" s="2" t="s">
        <v>156</v>
      </c>
      <c r="O22" s="2" t="s">
        <v>155</v>
      </c>
      <c r="P22" s="2" t="s">
        <v>269</v>
      </c>
      <c r="Q22" s="2" t="s">
        <v>268</v>
      </c>
      <c r="R22" s="2" t="s">
        <v>150</v>
      </c>
      <c r="S22" s="2">
        <v>1</v>
      </c>
      <c r="U22" s="4" t="s">
        <v>168</v>
      </c>
      <c r="V22" s="4" t="s">
        <v>163</v>
      </c>
      <c r="W22" s="5" t="s">
        <v>165</v>
      </c>
      <c r="X22" s="5" t="s">
        <v>166</v>
      </c>
      <c r="Y22" s="5" t="s">
        <v>167</v>
      </c>
    </row>
    <row r="24" spans="9:25" ht="18.75" x14ac:dyDescent="0.3">
      <c r="I24" s="12" t="s">
        <v>99</v>
      </c>
      <c r="J24" s="13"/>
      <c r="K24" s="13"/>
      <c r="L24" s="13"/>
      <c r="M24" s="13"/>
      <c r="N24" s="13"/>
      <c r="O24" s="13"/>
      <c r="P24" s="13"/>
      <c r="Q24" s="13"/>
      <c r="R24" s="13"/>
      <c r="S24" s="14"/>
    </row>
    <row r="25" spans="9:25" x14ac:dyDescent="0.25">
      <c r="I25" s="1" t="s">
        <v>291</v>
      </c>
      <c r="J25" s="1" t="s">
        <v>0</v>
      </c>
      <c r="K25" s="1" t="s">
        <v>1</v>
      </c>
      <c r="L25" s="1" t="s">
        <v>2</v>
      </c>
      <c r="M25" s="1" t="s">
        <v>3</v>
      </c>
      <c r="N25" s="1" t="s">
        <v>4</v>
      </c>
      <c r="O25" s="1" t="s">
        <v>5</v>
      </c>
      <c r="P25" s="1" t="s">
        <v>245</v>
      </c>
      <c r="Q25" s="1" t="s">
        <v>246</v>
      </c>
      <c r="R25" s="1" t="s">
        <v>36</v>
      </c>
      <c r="S25" s="1" t="s">
        <v>247</v>
      </c>
    </row>
    <row r="26" spans="9:25" x14ac:dyDescent="0.25">
      <c r="I26" s="7">
        <v>1</v>
      </c>
      <c r="J26" s="2" t="s">
        <v>100</v>
      </c>
      <c r="K26" s="2" t="s">
        <v>101</v>
      </c>
      <c r="L26" s="2" t="s">
        <v>105</v>
      </c>
      <c r="M26" s="2" t="s">
        <v>106</v>
      </c>
      <c r="N26" s="2" t="s">
        <v>59</v>
      </c>
      <c r="O26" s="2" t="s">
        <v>58</v>
      </c>
      <c r="P26" s="2" t="s">
        <v>271</v>
      </c>
      <c r="Q26" s="2" t="s">
        <v>270</v>
      </c>
      <c r="R26" s="2" t="s">
        <v>70</v>
      </c>
      <c r="S26" s="2">
        <v>1</v>
      </c>
      <c r="U26" s="1" t="s">
        <v>9</v>
      </c>
      <c r="V26" s="1" t="s">
        <v>74</v>
      </c>
      <c r="W26" s="3" t="s">
        <v>51</v>
      </c>
      <c r="X26" s="3" t="s">
        <v>52</v>
      </c>
      <c r="Y26" s="3" t="s">
        <v>103</v>
      </c>
    </row>
    <row r="27" spans="9:25" x14ac:dyDescent="0.25">
      <c r="I27" s="7">
        <v>2</v>
      </c>
      <c r="J27" s="2" t="s">
        <v>107</v>
      </c>
      <c r="K27" s="2" t="s">
        <v>108</v>
      </c>
      <c r="L27" s="2" t="s">
        <v>109</v>
      </c>
      <c r="M27" s="2" t="s">
        <v>110</v>
      </c>
      <c r="N27" s="2" t="s">
        <v>59</v>
      </c>
      <c r="O27" s="2" t="s">
        <v>58</v>
      </c>
      <c r="P27" s="2" t="s">
        <v>273</v>
      </c>
      <c r="Q27" s="2" t="s">
        <v>272</v>
      </c>
      <c r="R27" s="2" t="s">
        <v>71</v>
      </c>
      <c r="S27" s="2">
        <v>2</v>
      </c>
      <c r="U27" s="1" t="s">
        <v>10</v>
      </c>
      <c r="V27" s="1" t="s">
        <v>102</v>
      </c>
      <c r="W27" s="3" t="s">
        <v>51</v>
      </c>
      <c r="X27" s="3" t="s">
        <v>52</v>
      </c>
      <c r="Y27" s="3" t="s">
        <v>104</v>
      </c>
    </row>
    <row r="29" spans="9:25" ht="18.75" x14ac:dyDescent="0.3">
      <c r="I29" s="15" t="s">
        <v>121</v>
      </c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 spans="9:25" x14ac:dyDescent="0.25">
      <c r="I30" s="4" t="s">
        <v>291</v>
      </c>
      <c r="J30" s="4" t="s">
        <v>0</v>
      </c>
      <c r="K30" s="4" t="s">
        <v>1</v>
      </c>
      <c r="L30" s="4" t="s">
        <v>2</v>
      </c>
      <c r="M30" s="4" t="s">
        <v>3</v>
      </c>
      <c r="N30" s="4" t="s">
        <v>4</v>
      </c>
      <c r="O30" s="4" t="s">
        <v>5</v>
      </c>
      <c r="P30" s="4" t="s">
        <v>245</v>
      </c>
      <c r="Q30" s="4" t="s">
        <v>246</v>
      </c>
      <c r="R30" s="4" t="s">
        <v>36</v>
      </c>
      <c r="S30" s="4" t="s">
        <v>247</v>
      </c>
    </row>
    <row r="31" spans="9:25" x14ac:dyDescent="0.25">
      <c r="I31" s="7">
        <v>1</v>
      </c>
      <c r="J31" s="2" t="s">
        <v>111</v>
      </c>
      <c r="K31" s="2" t="s">
        <v>112</v>
      </c>
      <c r="L31" s="2" t="s">
        <v>115</v>
      </c>
      <c r="M31" s="2" t="s">
        <v>116</v>
      </c>
      <c r="N31" s="2" t="s">
        <v>59</v>
      </c>
      <c r="O31" s="2" t="s">
        <v>58</v>
      </c>
      <c r="P31" s="2" t="s">
        <v>275</v>
      </c>
      <c r="Q31" s="2" t="s">
        <v>274</v>
      </c>
      <c r="R31" s="2" t="s">
        <v>70</v>
      </c>
      <c r="S31" s="2">
        <v>1</v>
      </c>
      <c r="U31" s="4" t="s">
        <v>9</v>
      </c>
      <c r="V31" s="4" t="s">
        <v>74</v>
      </c>
      <c r="W31" s="5" t="s">
        <v>51</v>
      </c>
      <c r="X31" s="5" t="s">
        <v>52</v>
      </c>
      <c r="Y31" s="5" t="s">
        <v>113</v>
      </c>
    </row>
    <row r="32" spans="9:25" x14ac:dyDescent="0.25">
      <c r="I32" s="7">
        <v>2</v>
      </c>
      <c r="J32" s="2" t="s">
        <v>117</v>
      </c>
      <c r="K32" s="2" t="s">
        <v>118</v>
      </c>
      <c r="L32" s="2" t="s">
        <v>119</v>
      </c>
      <c r="M32" s="2" t="s">
        <v>120</v>
      </c>
      <c r="N32" s="2" t="s">
        <v>59</v>
      </c>
      <c r="O32" s="2" t="s">
        <v>58</v>
      </c>
      <c r="P32" s="2" t="s">
        <v>277</v>
      </c>
      <c r="Q32" s="2" t="s">
        <v>276</v>
      </c>
      <c r="R32" s="2" t="s">
        <v>71</v>
      </c>
      <c r="S32" s="2">
        <v>2</v>
      </c>
      <c r="U32" s="4" t="s">
        <v>10</v>
      </c>
      <c r="V32" s="4" t="s">
        <v>102</v>
      </c>
      <c r="W32" s="5" t="s">
        <v>51</v>
      </c>
      <c r="X32" s="5" t="s">
        <v>52</v>
      </c>
      <c r="Y32" s="5" t="s">
        <v>114</v>
      </c>
    </row>
    <row r="34" spans="9:25" ht="18.75" x14ac:dyDescent="0.3">
      <c r="I34" s="12" t="s">
        <v>132</v>
      </c>
      <c r="J34" s="13"/>
      <c r="K34" s="13"/>
      <c r="L34" s="13"/>
      <c r="M34" s="13"/>
      <c r="N34" s="13"/>
      <c r="O34" s="13"/>
      <c r="P34" s="13"/>
      <c r="Q34" s="13"/>
      <c r="R34" s="13"/>
      <c r="S34" s="14"/>
    </row>
    <row r="35" spans="9:25" x14ac:dyDescent="0.25">
      <c r="I35" s="1" t="s">
        <v>291</v>
      </c>
      <c r="J35" s="1" t="s">
        <v>0</v>
      </c>
      <c r="K35" s="1" t="s">
        <v>1</v>
      </c>
      <c r="L35" s="1" t="s">
        <v>2</v>
      </c>
      <c r="M35" s="1" t="s">
        <v>3</v>
      </c>
      <c r="N35" s="1" t="s">
        <v>4</v>
      </c>
      <c r="O35" s="1" t="s">
        <v>5</v>
      </c>
      <c r="P35" s="1" t="s">
        <v>245</v>
      </c>
      <c r="Q35" s="1" t="s">
        <v>246</v>
      </c>
      <c r="R35" s="1" t="s">
        <v>36</v>
      </c>
      <c r="S35" s="1" t="s">
        <v>247</v>
      </c>
    </row>
    <row r="36" spans="9:25" x14ac:dyDescent="0.25">
      <c r="I36" s="7">
        <v>1</v>
      </c>
      <c r="J36" s="2" t="s">
        <v>125</v>
      </c>
      <c r="K36" s="2" t="s">
        <v>126</v>
      </c>
      <c r="L36" s="2" t="s">
        <v>128</v>
      </c>
      <c r="M36" s="2" t="s">
        <v>129</v>
      </c>
      <c r="N36" s="2" t="s">
        <v>131</v>
      </c>
      <c r="O36" s="2" t="s">
        <v>130</v>
      </c>
      <c r="P36" s="2" t="s">
        <v>279</v>
      </c>
      <c r="Q36" s="2" t="s">
        <v>278</v>
      </c>
      <c r="R36" s="2" t="s">
        <v>70</v>
      </c>
      <c r="S36" s="2">
        <v>1</v>
      </c>
      <c r="U36" s="1" t="s">
        <v>9</v>
      </c>
      <c r="V36" s="1" t="s">
        <v>122</v>
      </c>
      <c r="W36" s="3" t="s">
        <v>123</v>
      </c>
      <c r="X36" s="3" t="s">
        <v>124</v>
      </c>
      <c r="Y36" s="3" t="s">
        <v>127</v>
      </c>
    </row>
    <row r="37" spans="9:25" x14ac:dyDescent="0.25">
      <c r="I37" s="7">
        <v>2</v>
      </c>
      <c r="J37" s="2" t="s">
        <v>158</v>
      </c>
      <c r="K37" s="2" t="s">
        <v>159</v>
      </c>
      <c r="L37" s="2" t="s">
        <v>160</v>
      </c>
      <c r="M37" s="2" t="s">
        <v>161</v>
      </c>
      <c r="N37" s="2" t="s">
        <v>131</v>
      </c>
      <c r="O37" s="2" t="s">
        <v>130</v>
      </c>
      <c r="P37" s="2" t="s">
        <v>281</v>
      </c>
      <c r="Q37" s="2" t="s">
        <v>280</v>
      </c>
      <c r="R37" s="2" t="s">
        <v>157</v>
      </c>
      <c r="S37" s="2">
        <v>2</v>
      </c>
      <c r="U37" s="1" t="s">
        <v>169</v>
      </c>
      <c r="V37" s="1" t="s">
        <v>164</v>
      </c>
      <c r="W37" s="3" t="s">
        <v>123</v>
      </c>
      <c r="X37" s="3" t="s">
        <v>124</v>
      </c>
      <c r="Y37" s="3" t="s">
        <v>162</v>
      </c>
    </row>
    <row r="39" spans="9:25" ht="18.75" x14ac:dyDescent="0.3">
      <c r="I39" s="15" t="s">
        <v>133</v>
      </c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spans="9:25" x14ac:dyDescent="0.25">
      <c r="I40" s="4" t="s">
        <v>291</v>
      </c>
      <c r="J40" s="4" t="s">
        <v>0</v>
      </c>
      <c r="K40" s="4" t="s">
        <v>1</v>
      </c>
      <c r="L40" s="4" t="s">
        <v>2</v>
      </c>
      <c r="M40" s="4" t="s">
        <v>3</v>
      </c>
      <c r="N40" s="4" t="s">
        <v>4</v>
      </c>
      <c r="O40" s="4" t="s">
        <v>5</v>
      </c>
      <c r="P40" s="4" t="s">
        <v>245</v>
      </c>
      <c r="Q40" s="4" t="s">
        <v>246</v>
      </c>
      <c r="R40" s="4" t="s">
        <v>36</v>
      </c>
      <c r="S40" s="4" t="s">
        <v>247</v>
      </c>
    </row>
    <row r="41" spans="9:25" x14ac:dyDescent="0.25">
      <c r="I41" s="7">
        <v>1</v>
      </c>
      <c r="J41" s="2" t="s">
        <v>135</v>
      </c>
      <c r="K41" s="2" t="s">
        <v>136</v>
      </c>
      <c r="L41" s="2" t="s">
        <v>137</v>
      </c>
      <c r="M41" s="2" t="s">
        <v>138</v>
      </c>
      <c r="N41" s="2" t="s">
        <v>20</v>
      </c>
      <c r="O41" s="2" t="s">
        <v>21</v>
      </c>
      <c r="P41" s="2" t="s">
        <v>283</v>
      </c>
      <c r="Q41" s="2" t="s">
        <v>282</v>
      </c>
      <c r="R41" s="2" t="s">
        <v>70</v>
      </c>
      <c r="S41" s="2">
        <v>1</v>
      </c>
      <c r="U41" s="4" t="s">
        <v>9</v>
      </c>
      <c r="V41" s="4" t="s">
        <v>8</v>
      </c>
      <c r="W41" s="5" t="s">
        <v>15</v>
      </c>
      <c r="X41" s="5" t="s">
        <v>16</v>
      </c>
      <c r="Y41" s="5" t="s">
        <v>147</v>
      </c>
    </row>
    <row r="42" spans="9:25" x14ac:dyDescent="0.25">
      <c r="I42" s="7">
        <v>2</v>
      </c>
      <c r="J42" s="2" t="s">
        <v>139</v>
      </c>
      <c r="K42" s="2" t="s">
        <v>140</v>
      </c>
      <c r="L42" s="2" t="s">
        <v>141</v>
      </c>
      <c r="M42" s="2" t="s">
        <v>142</v>
      </c>
      <c r="N42" s="2" t="s">
        <v>29</v>
      </c>
      <c r="O42" s="2" t="s">
        <v>30</v>
      </c>
      <c r="P42" s="2" t="s">
        <v>285</v>
      </c>
      <c r="Q42" s="2" t="s">
        <v>284</v>
      </c>
      <c r="R42" s="2" t="s">
        <v>84</v>
      </c>
      <c r="S42" s="2">
        <v>2</v>
      </c>
      <c r="U42" s="4" t="s">
        <v>10</v>
      </c>
      <c r="V42" s="4" t="s">
        <v>11</v>
      </c>
      <c r="W42" s="5" t="s">
        <v>22</v>
      </c>
      <c r="X42" s="5" t="s">
        <v>23</v>
      </c>
      <c r="Y42" s="5" t="s">
        <v>148</v>
      </c>
    </row>
    <row r="43" spans="9:25" x14ac:dyDescent="0.25">
      <c r="I43" s="7">
        <v>3</v>
      </c>
      <c r="J43" s="2" t="s">
        <v>143</v>
      </c>
      <c r="K43" s="2" t="s">
        <v>144</v>
      </c>
      <c r="L43" s="2" t="s">
        <v>145</v>
      </c>
      <c r="M43" s="2" t="s">
        <v>146</v>
      </c>
      <c r="N43" s="2" t="s">
        <v>29</v>
      </c>
      <c r="O43" s="2" t="s">
        <v>30</v>
      </c>
      <c r="P43" s="2" t="s">
        <v>287</v>
      </c>
      <c r="Q43" s="2" t="s">
        <v>286</v>
      </c>
      <c r="R43" s="2" t="s">
        <v>134</v>
      </c>
      <c r="S43" s="2">
        <v>1</v>
      </c>
      <c r="U43" s="4" t="s">
        <v>12</v>
      </c>
      <c r="V43" s="4" t="s">
        <v>13</v>
      </c>
      <c r="W43" s="5" t="s">
        <v>22</v>
      </c>
      <c r="X43" s="5" t="s">
        <v>23</v>
      </c>
      <c r="Y43" s="5" t="s">
        <v>149</v>
      </c>
    </row>
    <row r="46" spans="9:25" ht="18.75" x14ac:dyDescent="0.3">
      <c r="I46" s="11" t="s">
        <v>170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9:25" x14ac:dyDescent="0.25">
      <c r="I47" s="6" t="s">
        <v>291</v>
      </c>
      <c r="J47" s="6" t="s">
        <v>0</v>
      </c>
      <c r="K47" s="6" t="s">
        <v>1</v>
      </c>
      <c r="L47" s="6" t="s">
        <v>2</v>
      </c>
      <c r="M47" s="6" t="s">
        <v>3</v>
      </c>
      <c r="N47" s="6" t="s">
        <v>4</v>
      </c>
      <c r="O47" s="6" t="s">
        <v>5</v>
      </c>
      <c r="P47" s="6" t="s">
        <v>245</v>
      </c>
      <c r="Q47" s="6" t="s">
        <v>246</v>
      </c>
      <c r="R47" s="6" t="s">
        <v>288</v>
      </c>
      <c r="S47" s="6" t="s">
        <v>247</v>
      </c>
    </row>
    <row r="48" spans="9:25" x14ac:dyDescent="0.25">
      <c r="I48" s="7">
        <v>1</v>
      </c>
      <c r="J48" s="2" t="s">
        <v>192</v>
      </c>
      <c r="K48" s="2" t="s">
        <v>171</v>
      </c>
      <c r="L48" s="2" t="s">
        <v>172</v>
      </c>
      <c r="M48" s="2" t="s">
        <v>173</v>
      </c>
      <c r="N48" s="2" t="s">
        <v>156</v>
      </c>
      <c r="O48" s="2" t="s">
        <v>155</v>
      </c>
      <c r="P48" s="2" t="s">
        <v>269</v>
      </c>
      <c r="Q48" s="2" t="str">
        <f>K48 &amp; " - " &amp; L48</f>
        <v>183.168.100.1 - 183.168.100.2</v>
      </c>
      <c r="R48" s="7" t="s">
        <v>218</v>
      </c>
      <c r="S48" s="2">
        <v>1</v>
      </c>
    </row>
    <row r="49" spans="9:19" x14ac:dyDescent="0.25">
      <c r="I49" s="7">
        <v>2</v>
      </c>
      <c r="J49" s="2" t="s">
        <v>193</v>
      </c>
      <c r="K49" s="2" t="s">
        <v>174</v>
      </c>
      <c r="L49" s="2" t="s">
        <v>175</v>
      </c>
      <c r="M49" s="2" t="s">
        <v>176</v>
      </c>
      <c r="N49" s="2" t="s">
        <v>156</v>
      </c>
      <c r="O49" s="2" t="s">
        <v>155</v>
      </c>
      <c r="P49" s="2" t="s">
        <v>269</v>
      </c>
      <c r="Q49" s="2" t="str">
        <f t="shared" ref="Q49:Q55" si="0">K49 &amp; " - " &amp; L49</f>
        <v>183.168.100.5 - 183.168.100.6</v>
      </c>
      <c r="R49" s="7" t="s">
        <v>229</v>
      </c>
      <c r="S49" s="2">
        <v>1</v>
      </c>
    </row>
    <row r="50" spans="9:19" x14ac:dyDescent="0.25">
      <c r="I50" s="7">
        <v>3</v>
      </c>
      <c r="J50" s="2" t="s">
        <v>194</v>
      </c>
      <c r="K50" s="2" t="s">
        <v>177</v>
      </c>
      <c r="L50" s="2" t="s">
        <v>178</v>
      </c>
      <c r="M50" s="2" t="s">
        <v>179</v>
      </c>
      <c r="N50" s="2" t="s">
        <v>156</v>
      </c>
      <c r="O50" s="2" t="s">
        <v>155</v>
      </c>
      <c r="P50" s="2" t="s">
        <v>269</v>
      </c>
      <c r="Q50" s="2" t="str">
        <f t="shared" si="0"/>
        <v>183.168.100.9 - 183.168.100.10</v>
      </c>
      <c r="R50" s="7" t="s">
        <v>289</v>
      </c>
      <c r="S50" s="2">
        <v>1</v>
      </c>
    </row>
    <row r="51" spans="9:19" x14ac:dyDescent="0.25">
      <c r="I51" s="7">
        <v>4</v>
      </c>
      <c r="J51" s="2" t="s">
        <v>195</v>
      </c>
      <c r="K51" s="2" t="s">
        <v>180</v>
      </c>
      <c r="L51" s="2" t="s">
        <v>181</v>
      </c>
      <c r="M51" s="2" t="s">
        <v>182</v>
      </c>
      <c r="N51" s="2" t="s">
        <v>156</v>
      </c>
      <c r="O51" s="2" t="s">
        <v>155</v>
      </c>
      <c r="P51" s="2" t="s">
        <v>269</v>
      </c>
      <c r="Q51" s="2" t="str">
        <f t="shared" si="0"/>
        <v>183.168.100.13 - 183.168.100.14</v>
      </c>
      <c r="R51" s="7" t="s">
        <v>226</v>
      </c>
      <c r="S51" s="2">
        <v>1</v>
      </c>
    </row>
    <row r="52" spans="9:19" x14ac:dyDescent="0.25">
      <c r="I52" s="7">
        <v>5</v>
      </c>
      <c r="J52" s="2" t="s">
        <v>196</v>
      </c>
      <c r="K52" s="2" t="s">
        <v>183</v>
      </c>
      <c r="L52" s="2" t="s">
        <v>184</v>
      </c>
      <c r="M52" s="2" t="s">
        <v>185</v>
      </c>
      <c r="N52" s="2" t="s">
        <v>156</v>
      </c>
      <c r="O52" s="2" t="s">
        <v>155</v>
      </c>
      <c r="P52" s="2" t="s">
        <v>269</v>
      </c>
      <c r="Q52" s="2" t="str">
        <f t="shared" si="0"/>
        <v>183.168.100.17 - 183.168.100.18</v>
      </c>
      <c r="R52" s="7" t="s">
        <v>210</v>
      </c>
      <c r="S52" s="2">
        <v>1</v>
      </c>
    </row>
    <row r="53" spans="9:19" x14ac:dyDescent="0.25">
      <c r="I53" s="7">
        <v>6</v>
      </c>
      <c r="J53" s="2" t="s">
        <v>198</v>
      </c>
      <c r="K53" s="2" t="s">
        <v>186</v>
      </c>
      <c r="L53" s="2" t="s">
        <v>187</v>
      </c>
      <c r="M53" s="2" t="s">
        <v>188</v>
      </c>
      <c r="N53" s="2" t="s">
        <v>156</v>
      </c>
      <c r="O53" s="2" t="s">
        <v>155</v>
      </c>
      <c r="P53" s="2" t="s">
        <v>269</v>
      </c>
      <c r="Q53" s="2" t="str">
        <f t="shared" si="0"/>
        <v>183.168.100.21 - 183.168.100.22</v>
      </c>
      <c r="R53" s="7" t="s">
        <v>204</v>
      </c>
      <c r="S53" s="2">
        <v>1</v>
      </c>
    </row>
    <row r="54" spans="9:19" x14ac:dyDescent="0.25">
      <c r="I54" s="7">
        <v>7</v>
      </c>
      <c r="J54" s="2" t="s">
        <v>197</v>
      </c>
      <c r="K54" s="2" t="s">
        <v>189</v>
      </c>
      <c r="L54" s="2" t="s">
        <v>190</v>
      </c>
      <c r="M54" s="2" t="s">
        <v>191</v>
      </c>
      <c r="N54" s="2" t="s">
        <v>156</v>
      </c>
      <c r="O54" s="2" t="s">
        <v>155</v>
      </c>
      <c r="P54" s="2" t="s">
        <v>269</v>
      </c>
      <c r="Q54" s="2" t="str">
        <f t="shared" si="0"/>
        <v>183.168.100.25 - 183.168.100.26</v>
      </c>
      <c r="R54" s="7" t="s">
        <v>290</v>
      </c>
      <c r="S54" s="2">
        <v>1</v>
      </c>
    </row>
    <row r="55" spans="9:19" x14ac:dyDescent="0.25">
      <c r="I55" s="7">
        <v>8</v>
      </c>
      <c r="J55" s="2" t="s">
        <v>199</v>
      </c>
      <c r="K55" s="2" t="s">
        <v>200</v>
      </c>
      <c r="L55" s="2" t="s">
        <v>201</v>
      </c>
      <c r="M55" s="2" t="s">
        <v>202</v>
      </c>
      <c r="N55" s="2" t="s">
        <v>156</v>
      </c>
      <c r="O55" s="2" t="s">
        <v>155</v>
      </c>
      <c r="P55" s="2" t="s">
        <v>269</v>
      </c>
      <c r="Q55" s="2" t="str">
        <f t="shared" si="0"/>
        <v>183.168.100.29 - 183.168.100.30</v>
      </c>
      <c r="R55" s="7" t="s">
        <v>244</v>
      </c>
      <c r="S55" s="2">
        <v>1</v>
      </c>
    </row>
    <row r="56" spans="9:19" x14ac:dyDescent="0.25">
      <c r="I56" s="20"/>
      <c r="J56" s="19"/>
      <c r="K56" s="19"/>
      <c r="L56" s="19"/>
      <c r="M56" s="19"/>
      <c r="N56" s="19"/>
      <c r="O56" s="19"/>
    </row>
    <row r="58" spans="9:19" x14ac:dyDescent="0.25">
      <c r="I58" s="9" t="s">
        <v>204</v>
      </c>
      <c r="J58" s="9" t="s">
        <v>203</v>
      </c>
      <c r="K58" s="10" t="s">
        <v>215</v>
      </c>
      <c r="L58" s="10" t="s">
        <v>221</v>
      </c>
      <c r="M58" s="10" t="s">
        <v>222</v>
      </c>
      <c r="N58" s="10" t="s">
        <v>233</v>
      </c>
      <c r="O58" s="10" t="s">
        <v>239</v>
      </c>
    </row>
    <row r="59" spans="9:19" x14ac:dyDescent="0.25">
      <c r="I59" s="9" t="s">
        <v>205</v>
      </c>
      <c r="J59" s="10" t="s">
        <v>210</v>
      </c>
      <c r="K59" s="10" t="s">
        <v>216</v>
      </c>
      <c r="L59" s="10" t="s">
        <v>228</v>
      </c>
      <c r="M59" s="10" t="s">
        <v>223</v>
      </c>
      <c r="N59" s="10" t="s">
        <v>234</v>
      </c>
      <c r="O59" s="10" t="s">
        <v>240</v>
      </c>
    </row>
    <row r="60" spans="9:19" x14ac:dyDescent="0.25">
      <c r="I60" s="9" t="s">
        <v>206</v>
      </c>
      <c r="J60" s="10" t="s">
        <v>211</v>
      </c>
      <c r="K60" s="10" t="s">
        <v>217</v>
      </c>
      <c r="L60" s="10" t="s">
        <v>229</v>
      </c>
      <c r="M60" s="10" t="s">
        <v>224</v>
      </c>
      <c r="N60" s="10" t="s">
        <v>235</v>
      </c>
      <c r="O60" s="10" t="s">
        <v>241</v>
      </c>
    </row>
    <row r="61" spans="9:19" x14ac:dyDescent="0.25">
      <c r="I61" s="9" t="s">
        <v>207</v>
      </c>
      <c r="J61" s="10" t="s">
        <v>212</v>
      </c>
      <c r="K61" s="10" t="s">
        <v>218</v>
      </c>
      <c r="L61" s="10" t="s">
        <v>230</v>
      </c>
      <c r="M61" s="10" t="s">
        <v>225</v>
      </c>
      <c r="N61" s="10" t="s">
        <v>236</v>
      </c>
      <c r="O61" s="10" t="s">
        <v>242</v>
      </c>
    </row>
    <row r="62" spans="9:19" x14ac:dyDescent="0.25">
      <c r="I62" s="9" t="s">
        <v>208</v>
      </c>
      <c r="J62" s="10" t="s">
        <v>213</v>
      </c>
      <c r="K62" s="10" t="s">
        <v>219</v>
      </c>
      <c r="L62" s="10" t="s">
        <v>231</v>
      </c>
      <c r="M62" s="10" t="s">
        <v>226</v>
      </c>
      <c r="N62" s="10" t="s">
        <v>237</v>
      </c>
      <c r="O62" s="10" t="s">
        <v>243</v>
      </c>
    </row>
    <row r="63" spans="9:19" x14ac:dyDescent="0.25">
      <c r="I63" s="9" t="s">
        <v>209</v>
      </c>
      <c r="J63" s="10" t="s">
        <v>214</v>
      </c>
      <c r="K63" s="10" t="s">
        <v>220</v>
      </c>
      <c r="L63" s="10" t="s">
        <v>232</v>
      </c>
      <c r="M63" s="10" t="s">
        <v>227</v>
      </c>
      <c r="N63" s="10" t="s">
        <v>238</v>
      </c>
      <c r="O63" s="10" t="s">
        <v>244</v>
      </c>
    </row>
    <row r="64" spans="9:19" x14ac:dyDescent="0.25">
      <c r="I64" s="8"/>
    </row>
    <row r="65" spans="9:9" x14ac:dyDescent="0.25">
      <c r="I65" s="8"/>
    </row>
    <row r="66" spans="9:9" x14ac:dyDescent="0.25">
      <c r="I66" s="8"/>
    </row>
  </sheetData>
  <mergeCells count="9">
    <mergeCell ref="I39:S39"/>
    <mergeCell ref="I46:S46"/>
    <mergeCell ref="I1:S1"/>
    <mergeCell ref="I7:S7"/>
    <mergeCell ref="I13:S13"/>
    <mergeCell ref="I18:S18"/>
    <mergeCell ref="I24:S24"/>
    <mergeCell ref="I29:S29"/>
    <mergeCell ref="I34:S3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JULIAN BENDANA RODRIGUEZ</dc:creator>
  <cp:lastModifiedBy>JOSE JULIAN BENDANA RODRIGUEZ</cp:lastModifiedBy>
  <dcterms:created xsi:type="dcterms:W3CDTF">2026-03-01T02:15:18Z</dcterms:created>
  <dcterms:modified xsi:type="dcterms:W3CDTF">2026-03-14T21:50:47Z</dcterms:modified>
</cp:coreProperties>
</file>